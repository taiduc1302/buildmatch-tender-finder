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Weekly Review" sheetId="2" state="visible" r:id="rId2"/>
    <sheet name="Source Scorecard" sheetId="3" state="visible" r:id="rId3"/>
    <sheet name="Capture &amp; Conversion" sheetId="4" state="visible" r:id="rId4"/>
    <sheet name="Automation Gat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TENDER_FINDER — Задача G: Контроль качества и метрики</t>
        </is>
      </c>
    </row>
    <row r="2">
      <c r="A2" t="inlineStr">
        <is>
          <t>Дисциплина prove-then-automate в виде инструмента: измеряем полезность источников и решаем, когда источник «дозрел» до автоматизации. Дата: 20 июня 2026.</t>
        </is>
      </c>
    </row>
    <row r="3"/>
    <row r="4">
      <c r="A4" t="inlineStr">
        <is>
          <t>Зачем</t>
        </is>
      </c>
      <c r="B4" t="inlineStr">
        <is>
          <t>Ни один источник не уходит в авто-режим, пока не докажет ценность. Этот файл измеряет: сколько полезных лидов даёт источник, какова конверсия будущих сигналов в реальные тендеры, и проходит ли источник ворота допуска к автоматизации. Без этого «автоматизация» = шум.</t>
        </is>
      </c>
    </row>
    <row r="5">
      <c r="A5" t="inlineStr">
        <is>
          <t>Жёлтые ячейки</t>
        </is>
      </c>
      <c r="B5" t="inlineStr">
        <is>
          <t>Жёлтым подсвечены ячейки, которые заполняет команда (счётчики по неделям, Y/N в воротах). Остальное — формулы (вердикты, проценты, конверсия) считаются сами.</t>
        </is>
      </c>
    </row>
    <row r="6"/>
    <row r="7">
      <c r="A7" t="inlineStr">
        <is>
          <t>ВКЛАДКИ</t>
        </is>
      </c>
    </row>
    <row r="8">
      <c r="A8" t="inlineStr">
        <is>
          <t>Weekly Review</t>
        </is>
      </c>
      <c r="B8" t="inlineStr">
        <is>
          <t>Недельный журнал разбора лидов: сколько пришло / оставили / в тендер / выиграли. Hit-rate и win-rate — формулы. Capture % берётся из Задачи D (Silent Validation Log).</t>
        </is>
      </c>
    </row>
    <row r="9">
      <c r="A9" t="inlineStr">
        <is>
          <t>Source Scorecard</t>
        </is>
      </c>
      <c r="B9" t="inlineStr">
        <is>
          <t>Скоркарта полезности по источникам. Правило: ≥3 полезных лида/мес = PASS (зелёный), 1–3 = WATCH, &lt;1 = DROP. Вердикт считается формулой.</t>
        </is>
      </c>
    </row>
    <row r="10">
      <c r="A10" t="inlineStr">
        <is>
          <t>Capture &amp; Conversion</t>
        </is>
      </c>
      <c r="B10" t="inlineStr">
        <is>
          <t>Воронка: будущий сигнал → активный тендер → ставка → шорт-лист → победа. Конверсия между стадиями — формула. Плюс зеркало capture % из Задачи D.</t>
        </is>
      </c>
    </row>
    <row r="11">
      <c r="A11" t="inlineStr">
        <is>
          <t>Automation Gate</t>
        </is>
      </c>
      <c r="B11" t="inlineStr">
        <is>
          <t>7 критериев, которые источник должен пройти, прежде чем уйти в авто-режим. Вердикт ELIGIBLE загорается, только когда все 7 = Y. Объективные критерии (стабильный API, юр-риск, дедуп) уже проставлены.</t>
        </is>
      </c>
    </row>
    <row r="12"/>
    <row r="13">
      <c r="A13" t="inlineStr">
        <is>
          <t>ГЛАВНОЕ ПРАВИЛО</t>
        </is>
      </c>
      <c r="B13" t="inlineStr">
        <is>
          <t>Источник → автоматизация ТОЛЬКО когда: ≥3 полезных лида/мес устойчиво + подтверждение Example Reviewer + стабильный API + дедуп работает. До этого — ручной прототип (Задача F) идёт параллельно ручному списку Example Coordinator.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Weekly Review — недельный разбор лидов</t>
        </is>
      </c>
    </row>
    <row r="2">
      <c r="A2" t="inlineStr">
        <is>
          <t>Жёлтые ячейки заполняет команда. Hit-rate и win-rate — формулы. Capture % переноси из Задачи D.</t>
        </is>
      </c>
    </row>
    <row r="3"/>
    <row r="4">
      <c r="A4" t="inlineStr">
        <is>
          <t>Week ending</t>
        </is>
      </c>
      <c r="B4" t="inlineStr">
        <is>
          <t>Leads in (#)</t>
        </is>
      </c>
      <c r="C4" t="inlineStr">
        <is>
          <t>Kept — fit (#)</t>
        </is>
      </c>
      <c r="D4" t="inlineStr">
        <is>
          <t>Hit rate</t>
        </is>
      </c>
      <c r="E4" t="inlineStr">
        <is>
          <t>Sent to bid (#)</t>
        </is>
      </c>
      <c r="F4" t="inlineStr">
        <is>
          <t>Won (#)</t>
        </is>
      </c>
      <c r="G4" t="inlineStr">
        <is>
          <t>Win rate</t>
        </is>
      </c>
      <c r="H4" t="inlineStr">
        <is>
          <t>Capture % (from Task D)</t>
        </is>
      </c>
      <c r="I4" t="inlineStr">
        <is>
          <t>Notes</t>
        </is>
      </c>
    </row>
    <row r="5">
      <c r="D5">
        <f>IF(N(B5)=0,"",C5/B5)</f>
        <v/>
      </c>
      <c r="G5">
        <f>IF(N(E5)=0,"",F5/E5)</f>
        <v/>
      </c>
    </row>
    <row r="6">
      <c r="D6">
        <f>IF(N(B6)=0,"",C6/B6)</f>
        <v/>
      </c>
      <c r="G6">
        <f>IF(N(E6)=0,"",F6/E6)</f>
        <v/>
      </c>
    </row>
    <row r="7">
      <c r="D7">
        <f>IF(N(B7)=0,"",C7/B7)</f>
        <v/>
      </c>
      <c r="G7">
        <f>IF(N(E7)=0,"",F7/E7)</f>
        <v/>
      </c>
    </row>
    <row r="8">
      <c r="D8">
        <f>IF(N(B8)=0,"",C8/B8)</f>
        <v/>
      </c>
      <c r="G8">
        <f>IF(N(E8)=0,"",F8/E8)</f>
        <v/>
      </c>
    </row>
    <row r="9">
      <c r="D9">
        <f>IF(N(B9)=0,"",C9/B9)</f>
        <v/>
      </c>
      <c r="G9">
        <f>IF(N(E9)=0,"",F9/E9)</f>
        <v/>
      </c>
    </row>
    <row r="10">
      <c r="D10">
        <f>IF(N(B10)=0,"",C10/B10)</f>
        <v/>
      </c>
      <c r="G10">
        <f>IF(N(E10)=0,"",F10/E10)</f>
        <v/>
      </c>
    </row>
    <row r="11">
      <c r="D11">
        <f>IF(N(B11)=0,"",C11/B11)</f>
        <v/>
      </c>
      <c r="G11">
        <f>IF(N(E11)=0,"",F11/E11)</f>
        <v/>
      </c>
    </row>
    <row r="12">
      <c r="D12">
        <f>IF(N(B12)=0,"",C12/B12)</f>
        <v/>
      </c>
      <c r="G12">
        <f>IF(N(E12)=0,"",F12/E12)</f>
        <v/>
      </c>
    </row>
    <row r="13">
      <c r="D13">
        <f>IF(N(B13)=0,"",C13/B13)</f>
        <v/>
      </c>
      <c r="G13">
        <f>IF(N(E13)=0,"",F13/E13)</f>
        <v/>
      </c>
    </row>
    <row r="14">
      <c r="D14">
        <f>IF(N(B14)=0,"",C14/B14)</f>
        <v/>
      </c>
      <c r="G14">
        <f>IF(N(E14)=0,"",F14/E14)</f>
        <v/>
      </c>
    </row>
    <row r="15"/>
    <row r="16">
      <c r="A16" t="inlineStr">
        <is>
          <t>TOTAL / AVG</t>
        </is>
      </c>
      <c r="B16">
        <f>SUM(B5:B14)</f>
        <v/>
      </c>
      <c r="C16">
        <f>SUM(C5:C14)</f>
        <v/>
      </c>
      <c r="D16">
        <f>IF(N(B16)=0,"",C16/B16)</f>
        <v/>
      </c>
      <c r="E16">
        <f>SUM(E5:E14)</f>
        <v/>
      </c>
      <c r="F16">
        <f>SUM(F5:F14)</f>
        <v/>
      </c>
      <c r="G16">
        <f>IF(N(E16)=0,"",F16/E16)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Usefulness Scorecard — полезность источников</t>
        </is>
      </c>
    </row>
    <row r="2">
      <c r="A2" t="inlineStr">
        <is>
          <t>Правило: useful/мес ≥3 = PASS · 1–3 = WATCH · &lt;1 = DROP. Жёлтое заполняет команда; вердикт — формула. «Полезный» = лид, доведённый до реального тендера/ставки, а не просто запись.</t>
        </is>
      </c>
    </row>
    <row r="3"/>
    <row r="4">
      <c r="A4" t="inlineStr">
        <is>
          <t>Source</t>
        </is>
      </c>
      <c r="B4" t="inlineStr">
        <is>
          <t>Cat</t>
        </is>
      </c>
      <c r="C4" t="inlineStr">
        <is>
          <t>Leads (period)</t>
        </is>
      </c>
      <c r="D4" t="inlineStr">
        <is>
          <t>Useful leads</t>
        </is>
      </c>
      <c r="E4" t="inlineStr">
        <is>
          <t>Months</t>
        </is>
      </c>
      <c r="F4" t="inlineStr">
        <is>
          <t>Useful / month</t>
        </is>
      </c>
      <c r="G4" t="inlineStr">
        <is>
          <t>Verdict</t>
        </is>
      </c>
      <c r="H4" t="inlineStr">
        <is>
          <t>Auto rule (≥3/mo)</t>
        </is>
      </c>
    </row>
    <row r="5">
      <c r="A5" t="inlineStr">
        <is>
          <t>Surrey Development Applications</t>
        </is>
      </c>
      <c r="B5" t="inlineStr">
        <is>
          <t>B</t>
        </is>
      </c>
      <c r="F5">
        <f>IF(N(E5)=0,"",D5/E5)</f>
        <v/>
      </c>
      <c r="G5">
        <f>IF(E5="","—",IF(F5&gt;=3,"PASS",IF(F5&gt;=1,"WATCH","DROP")))</f>
        <v/>
      </c>
      <c r="H5">
        <f>IF(F5="","—",IF(F5&gt;=3,"meets ≥3 — see Gate","below threshold"))</f>
        <v/>
      </c>
    </row>
    <row r="6">
      <c r="A6" t="inlineStr">
        <is>
          <t>Maple Ridge Active Dev Apps</t>
        </is>
      </c>
      <c r="B6" t="inlineStr">
        <is>
          <t>B</t>
        </is>
      </c>
      <c r="F6">
        <f>IF(N(E6)=0,"",D6/E6)</f>
        <v/>
      </c>
      <c r="G6">
        <f>IF(E6="","—",IF(F6&gt;=3,"PASS",IF(F6&gt;=1,"WATCH","DROP")))</f>
        <v/>
      </c>
      <c r="H6">
        <f>IF(F6="","—",IF(F6&gt;=3,"meets ≥3 — see Gate","below threshold"))</f>
        <v/>
      </c>
    </row>
    <row r="7">
      <c r="A7" t="inlineStr">
        <is>
          <t>Township of Langley open data</t>
        </is>
      </c>
      <c r="B7" t="inlineStr">
        <is>
          <t>B</t>
        </is>
      </c>
      <c r="F7">
        <f>IF(N(E7)=0,"",D7/E7)</f>
        <v/>
      </c>
      <c r="G7">
        <f>IF(E7="","—",IF(F7&gt;=3,"PASS",IF(F7&gt;=1,"WATCH","DROP")))</f>
        <v/>
      </c>
      <c r="H7">
        <f>IF(F7="","—",IF(F7&gt;=3,"meets ≥3 — see Gate","below threshold"))</f>
        <v/>
      </c>
    </row>
    <row r="8">
      <c r="A8" t="inlineStr">
        <is>
          <t>Vancouver Issued Building Permits</t>
        </is>
      </c>
      <c r="B8" t="inlineStr">
        <is>
          <t>B</t>
        </is>
      </c>
      <c r="F8">
        <f>IF(N(E8)=0,"",D8/E8)</f>
        <v/>
      </c>
      <c r="G8">
        <f>IF(E8="","—",IF(F8&gt;=3,"PASS",IF(F8&gt;=1,"WATCH","DROP")))</f>
        <v/>
      </c>
      <c r="H8">
        <f>IF(F8="","—",IF(F8&gt;=3,"meets ≥3 — see Gate","below threshold"))</f>
        <v/>
      </c>
    </row>
    <row r="9">
      <c r="A9" t="inlineStr">
        <is>
          <t>CivicInfo BC — Construction RSS</t>
        </is>
      </c>
      <c r="B9" t="inlineStr">
        <is>
          <t>A</t>
        </is>
      </c>
      <c r="F9">
        <f>IF(N(E9)=0,"",D9/E9)</f>
        <v/>
      </c>
      <c r="G9">
        <f>IF(E9="","—",IF(F9&gt;=3,"PASS",IF(F9&gt;=1,"WATCH","DROP")))</f>
        <v/>
      </c>
      <c r="H9">
        <f>IF(F9="","—",IF(F9&gt;=3,"meets ≥3 — see Gate","below threshold"))</f>
        <v/>
      </c>
    </row>
    <row r="10">
      <c r="A10" t="inlineStr">
        <is>
          <t>bids&amp;tenders network (Surrey/MapleRidge/Metro Van/etc.)</t>
        </is>
      </c>
      <c r="B10" t="inlineStr">
        <is>
          <t>A</t>
        </is>
      </c>
      <c r="F10">
        <f>IF(N(E10)=0,"",D10/E10)</f>
        <v/>
      </c>
      <c r="G10">
        <f>IF(E10="","—",IF(F10&gt;=3,"PASS",IF(F10&gt;=1,"WATCH","DROP")))</f>
        <v/>
      </c>
      <c r="H10">
        <f>IF(F10="","—",IF(F10&gt;=3,"meets ≥3 — see Gate","below threshold"))</f>
        <v/>
      </c>
    </row>
    <row r="11">
      <c r="A11" t="inlineStr">
        <is>
          <t>BC Bid e-notifications</t>
        </is>
      </c>
      <c r="B11" t="inlineStr">
        <is>
          <t>A</t>
        </is>
      </c>
      <c r="F11">
        <f>IF(N(E11)=0,"",D11/E11)</f>
        <v/>
      </c>
      <c r="G11">
        <f>IF(E11="","—",IF(F11&gt;=3,"PASS",IF(F11&gt;=1,"WATCH","DROP")))</f>
        <v/>
      </c>
      <c r="H11">
        <f>IF(F11="","—",IF(F11&gt;=3,"meets ≥3 — see Gate","below threshold"))</f>
        <v/>
      </c>
    </row>
    <row r="12">
      <c r="A12" t="inlineStr">
        <is>
          <t>GC ITB (BuildingConnected / direct)</t>
        </is>
      </c>
      <c r="B12" t="inlineStr">
        <is>
          <t>A</t>
        </is>
      </c>
      <c r="F12">
        <f>IF(N(E12)=0,"",D12/E12)</f>
        <v/>
      </c>
      <c r="G12">
        <f>IF(E12="","—",IF(F12&gt;=3,"PASS",IF(F12&gt;=1,"WATCH","DROP")))</f>
        <v/>
      </c>
      <c r="H12">
        <f>IF(F12="","—",IF(F12&gt;=3,"meets ≥3 — see Gate","below threshold"))</f>
        <v/>
      </c>
    </row>
    <row r="13">
      <c r="A13" t="inlineStr">
        <is>
          <t>Surrey Council / Planning reports</t>
        </is>
      </c>
      <c r="B13" t="inlineStr">
        <is>
          <t>B</t>
        </is>
      </c>
      <c r="F13">
        <f>IF(N(E13)=0,"",D13/E13)</f>
        <v/>
      </c>
      <c r="G13">
        <f>IF(E13="","—",IF(F13&gt;=3,"PASS",IF(F13&gt;=1,"WATCH","DROP")))</f>
        <v/>
      </c>
      <c r="H13">
        <f>IF(F13="","—",IF(F13&gt;=3,"meets ≥3 — see Gate","below threshold"))</f>
        <v/>
      </c>
    </row>
    <row r="14">
      <c r="A14" t="inlineStr">
        <is>
          <t>Metro Vancouver capital</t>
        </is>
      </c>
      <c r="B14" t="inlineStr">
        <is>
          <t>B</t>
        </is>
      </c>
      <c r="F14">
        <f>IF(N(E14)=0,"",D14/E14)</f>
        <v/>
      </c>
      <c r="G14">
        <f>IF(E14="","—",IF(F14&gt;=3,"PASS",IF(F14&gt;=1,"WATCH","DROP")))</f>
        <v/>
      </c>
      <c r="H14">
        <f>IF(F14="","—",IF(F14&gt;=3,"meets ≥3 — see Gate","below threshold"))</f>
        <v/>
      </c>
    </row>
    <row r="15"/>
    <row r="16">
      <c r="A16" t="inlineStr">
        <is>
          <t>Вердикт раскрашивается по значению: PASS=зелёный, WATCH=жёлтый, DROP=красный (условное форматирование). Заполни Leads/Useful/Months — остальное посчитается.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Capture &amp; Conversion — воронка и охват</t>
        </is>
      </c>
    </row>
    <row r="2">
      <c r="A2" t="inlineStr">
        <is>
          <t>Воронка будущих сигналов в победы (метрика конверсии). Жёлтое заполняет команда; конверсия — формула.</t>
        </is>
      </c>
    </row>
    <row r="3"/>
    <row r="4">
      <c r="A4" t="inlineStr">
        <is>
          <t>Funnel stage</t>
        </is>
      </c>
      <c r="B4" t="inlineStr">
        <is>
          <t>Count</t>
        </is>
      </c>
      <c r="C4" t="inlineStr">
        <is>
          <t>Conversion from prior</t>
        </is>
      </c>
      <c r="D4" t="inlineStr">
        <is>
          <t>Notes</t>
        </is>
      </c>
    </row>
    <row r="5">
      <c r="A5" t="inlineStr">
        <is>
          <t>Future leads surfaced</t>
        </is>
      </c>
      <c r="C5" t="inlineStr">
        <is>
          <t>—</t>
        </is>
      </c>
      <c r="D5" t="inlineStr">
        <is>
          <t>Будущие сигналы из dev-app/council/capital</t>
        </is>
      </c>
    </row>
    <row r="6">
      <c r="A6" t="inlineStr">
        <is>
          <t>Progressed to active tender</t>
        </is>
      </c>
      <c r="C6">
        <f>IF(N(B5)=0,"",B6/B5)</f>
        <v/>
      </c>
      <c r="D6" t="inlineStr">
        <is>
          <t>Стали реальным тендером (0–3 мес)</t>
        </is>
      </c>
    </row>
    <row r="7">
      <c r="A7" t="inlineStr">
        <is>
          <t>Bid submitted</t>
        </is>
      </c>
      <c r="C7">
        <f>IF(N(B6)=0,"",B7/B6)</f>
        <v/>
      </c>
      <c r="D7" t="inlineStr">
        <is>
          <t>TENDER_FINDER подал ставку</t>
        </is>
      </c>
    </row>
    <row r="8">
      <c r="A8" t="inlineStr">
        <is>
          <t>Shortlisted</t>
        </is>
      </c>
      <c r="C8">
        <f>IF(N(B7)=0,"",B8/B7)</f>
        <v/>
      </c>
      <c r="D8" t="inlineStr">
        <is>
          <t>Прошли в шорт-лист</t>
        </is>
      </c>
    </row>
    <row r="9">
      <c r="A9" t="inlineStr">
        <is>
          <t>Awarded / Won</t>
        </is>
      </c>
      <c r="C9">
        <f>IF(N(B8)=0,"",B9/B8)</f>
        <v/>
      </c>
      <c r="D9" t="inlineStr">
        <is>
          <t>Выиграли контракт</t>
        </is>
      </c>
    </row>
    <row r="10">
      <c r="A10" t="inlineStr">
        <is>
          <t>Overall: lead → win</t>
        </is>
      </c>
      <c r="C10">
        <f>IF(N(B5)=0,"",B9/B5)</f>
        <v/>
      </c>
    </row>
    <row r="11"/>
    <row r="12">
      <c r="A12" t="inlineStr">
        <is>
          <t>Capture vs Example Coordinator (mirror of Task D)</t>
        </is>
      </c>
    </row>
    <row r="13">
      <c r="A13" t="inlineStr">
        <is>
          <t>Example Coordinator found (period)</t>
        </is>
      </c>
    </row>
    <row r="14">
      <c r="A14" t="inlineStr">
        <is>
          <t>System caught (period)</t>
        </is>
      </c>
    </row>
    <row r="15">
      <c r="A15" t="inlineStr">
        <is>
          <t>Capture %</t>
        </is>
      </c>
      <c r="B15">
        <f>IF(N(B13)=0,"",B14/B13)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 Promotion Gate — ворота допуска к автоматизации</t>
        </is>
      </c>
    </row>
    <row r="2">
      <c r="A2" t="inlineStr">
        <is>
          <t>Источник уходит в авто-режим ТОЛЬКО когда все 7 критериев = Y. Жёлтое (1–3) заполняет команда; объективные (4–7) уже проставлены. Вердикт — формула.</t>
        </is>
      </c>
    </row>
    <row r="3"/>
    <row r="4">
      <c r="A4" t="inlineStr">
        <is>
          <t>Source</t>
        </is>
      </c>
      <c r="B4" t="inlineStr">
        <is>
          <t>1. ≥3 useful/mo</t>
        </is>
      </c>
      <c r="C4" t="inlineStr">
        <is>
          <t>2. Sustained 2–3 mo</t>
        </is>
      </c>
      <c r="D4" t="inlineStr">
        <is>
          <t>3. Example Reviewer sign-off</t>
        </is>
      </c>
      <c r="E4" t="inlineStr">
        <is>
          <t>4. Stable API/feed</t>
        </is>
      </c>
      <c r="F4" t="inlineStr">
        <is>
          <t>5. Low legal risk</t>
        </is>
      </c>
      <c r="G4" t="inlineStr">
        <is>
          <t>6. Dedup verified</t>
        </is>
      </c>
      <c r="H4" t="inlineStr">
        <is>
          <t>7. Maps to tracker</t>
        </is>
      </c>
      <c r="I4" t="inlineStr">
        <is>
          <t>GATE VERDICT</t>
        </is>
      </c>
    </row>
    <row r="5">
      <c r="A5" t="inlineStr">
        <is>
          <t>Surrey Development Applications</t>
        </is>
      </c>
      <c r="E5" t="inlineStr">
        <is>
          <t>Y</t>
        </is>
      </c>
      <c r="F5" t="inlineStr">
        <is>
          <t>Y</t>
        </is>
      </c>
      <c r="G5" t="inlineStr">
        <is>
          <t>Y</t>
        </is>
      </c>
      <c r="H5" t="inlineStr">
        <is>
          <t>Y</t>
        </is>
      </c>
      <c r="I5">
        <f>IF(COUNTIF(B5:H5,"Y")=7,"ELIGIBLE TO AUTOMATE","NOT YET — "&amp;TEXT(7-COUNTIF(B5:H5,"Y"),"0")&amp;" gaps")</f>
        <v/>
      </c>
    </row>
    <row r="6">
      <c r="A6" t="inlineStr">
        <is>
          <t>Maple Ridge Active Dev Apps</t>
        </is>
      </c>
      <c r="E6" t="inlineStr">
        <is>
          <t>Y</t>
        </is>
      </c>
      <c r="F6" t="inlineStr">
        <is>
          <t>Y</t>
        </is>
      </c>
      <c r="G6" t="inlineStr">
        <is>
          <t>Y</t>
        </is>
      </c>
      <c r="H6" t="inlineStr">
        <is>
          <t>Y</t>
        </is>
      </c>
      <c r="I6">
        <f>IF(COUNTIF(B6:H6,"Y")=7,"ELIGIBLE TO AUTOMATE","NOT YET — "&amp;TEXT(7-COUNTIF(B6:H6,"Y"),"0")&amp;" gaps")</f>
        <v/>
      </c>
    </row>
    <row r="7">
      <c r="A7" t="inlineStr">
        <is>
          <t>Township of Langley open data</t>
        </is>
      </c>
      <c r="E7" t="inlineStr">
        <is>
          <t>Y</t>
        </is>
      </c>
      <c r="F7" t="inlineStr">
        <is>
          <t>Y</t>
        </is>
      </c>
      <c r="G7" t="inlineStr">
        <is>
          <t>Y</t>
        </is>
      </c>
      <c r="H7" t="inlineStr">
        <is>
          <t>Y</t>
        </is>
      </c>
      <c r="I7">
        <f>IF(COUNTIF(B7:H7,"Y")=7,"ELIGIBLE TO AUTOMATE","NOT YET — "&amp;TEXT(7-COUNTIF(B7:H7,"Y"),"0")&amp;" gaps")</f>
        <v/>
      </c>
    </row>
    <row r="8">
      <c r="A8" t="inlineStr">
        <is>
          <t>Vancouver Issued Building Permits</t>
        </is>
      </c>
      <c r="E8" t="inlineStr">
        <is>
          <t>Y</t>
        </is>
      </c>
      <c r="F8" t="inlineStr">
        <is>
          <t>Y</t>
        </is>
      </c>
      <c r="G8" t="inlineStr">
        <is>
          <t>Y</t>
        </is>
      </c>
      <c r="H8" t="inlineStr">
        <is>
          <t>Y</t>
        </is>
      </c>
      <c r="I8">
        <f>IF(COUNTIF(B8:H8,"Y")=7,"ELIGIBLE TO AUTOMATE","NOT YET — "&amp;TEXT(7-COUNTIF(B8:H8,"Y"),"0")&amp;" gaps")</f>
        <v/>
      </c>
    </row>
    <row r="9">
      <c r="A9" t="inlineStr">
        <is>
          <t>CivicInfo BC — Construction RSS</t>
        </is>
      </c>
      <c r="E9" t="inlineStr">
        <is>
          <t>Y</t>
        </is>
      </c>
      <c r="F9" t="inlineStr">
        <is>
          <t>Y</t>
        </is>
      </c>
      <c r="G9" t="inlineStr">
        <is>
          <t>Y</t>
        </is>
      </c>
      <c r="H9" t="inlineStr">
        <is>
          <t>Y</t>
        </is>
      </c>
      <c r="I9">
        <f>IF(COUNTIF(B9:H9,"Y")=7,"ELIGIBLE TO AUTOMATE","NOT YET — "&amp;TEXT(7-COUNTIF(B9:H9,"Y"),"0")&amp;" gaps")</f>
        <v/>
      </c>
    </row>
    <row r="10">
      <c r="A10" t="inlineStr">
        <is>
          <t>bids&amp;tenders network</t>
        </is>
      </c>
      <c r="E10" t="inlineStr">
        <is>
          <t>Y</t>
        </is>
      </c>
      <c r="F10" t="inlineStr">
        <is>
          <t>Y</t>
        </is>
      </c>
      <c r="H10" t="inlineStr">
        <is>
          <t>Y</t>
        </is>
      </c>
      <c r="I10">
        <f>IF(COUNTIF(B10:H10,"Y")=7,"ELIGIBLE TO AUTOMATE","NOT YET — "&amp;TEXT(7-COUNTIF(B10:H10,"Y"),"0")&amp;" gaps")</f>
        <v/>
      </c>
    </row>
    <row r="11">
      <c r="A11" t="inlineStr">
        <is>
          <t>BC Bid e-notifications</t>
        </is>
      </c>
      <c r="E11" t="inlineStr">
        <is>
          <t>Y</t>
        </is>
      </c>
      <c r="F11" t="inlineStr">
        <is>
          <t>Y</t>
        </is>
      </c>
      <c r="H11" t="inlineStr">
        <is>
          <t>Y</t>
        </is>
      </c>
      <c r="I11">
        <f>IF(COUNTIF(B11:H11,"Y")=7,"ELIGIBLE TO AUTOMATE","NOT YET — "&amp;TEXT(7-COUNTIF(B11:H11,"Y"),"0")&amp;" gaps")</f>
        <v/>
      </c>
    </row>
    <row r="12">
      <c r="A12" t="inlineStr">
        <is>
          <t>GC ITB (BuildingConnected / direct)</t>
        </is>
      </c>
      <c r="F12" t="inlineStr">
        <is>
          <t>Y</t>
        </is>
      </c>
      <c r="H12" t="inlineStr">
        <is>
          <t>Y</t>
        </is>
      </c>
      <c r="I12">
        <f>IF(COUNTIF(B12:H12,"Y")=7,"ELIGIBLE TO AUTOMATE","NOT YET — "&amp;TEXT(7-COUNTIF(B12:H12,"Y"),"0")&amp;" gaps")</f>
        <v/>
      </c>
    </row>
    <row r="13">
      <c r="A13" t="inlineStr">
        <is>
          <t>Surrey Council / Planning reports</t>
        </is>
      </c>
      <c r="F13" t="inlineStr">
        <is>
          <t>Y</t>
        </is>
      </c>
      <c r="H13" t="inlineStr">
        <is>
          <t>Y</t>
        </is>
      </c>
      <c r="I13">
        <f>IF(COUNTIF(B13:H13,"Y")=7,"ELIGIBLE TO AUTOMATE","NOT YET — "&amp;TEXT(7-COUNTIF(B13:H13,"Y"),"0")&amp;" gaps")</f>
        <v/>
      </c>
    </row>
    <row r="14"/>
    <row r="15">
      <c r="A15" t="inlineStr">
        <is>
          <t>Объективные критерии (стабильный API, юр-риск, дедуп через коллектор, маппинг в трекер) проставлены. Открыты только usage-доказательство (1–2) и подтверждение Example Reviewer (3) — их закрывают данные Weekly Review + Source Scorecard.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2026-07-04T04:55:24Z</dcterms:created>
  <dcterms:modified xsi:type="dcterms:W3CDTF">2026-07-04T04:55:24Z</dcterms:modified>
</cp:coreProperties>
</file>
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tup Checklist" sheetId="2" state="visible" r:id="rId2"/>
    <sheet name="Alert Subscriptions" sheetId="3" state="visible" r:id="rId3"/>
    <sheet name="Commodity Codes" sheetId="4" state="visible" r:id="rId4"/>
    <sheet name="GC Auto-Forward" sheetId="5" state="visible" r:id="rId5"/>
    <sheet name="Silent Valida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TENDER_FINDER — Задача D: Active Tenders Safety Layer (Phase 0)</t>
        </is>
      </c>
    </row>
    <row r="2">
      <c r="A2" t="inlineStr">
        <is>
          <t>Запуск горизонта A (активные тендеры 0–3 мес) через общий ящик + бесплатные alerts. Без блокеров, без денег — делается на этой неделе. Дата: 20 июня 2026.</t>
        </is>
      </c>
    </row>
    <row r="3"/>
    <row r="4">
      <c r="A4" t="inlineStr">
        <is>
          <t>Зачем это первым</t>
        </is>
      </c>
      <c r="B4" t="inlineStr">
        <is>
          <t>Горизонт A нельзя вести ручным обходом сайтов — пропустишь closing date (это «highest-leverage move» из плана, §17/Risk2). Один общий ящик + нативные email/RSS alerts ловят тендеры автоматически. Трек самостоятельный: НЕ ждёт ни Теста №1, ни вердикта Example Reviewer — можно стартовать сегодня.</t>
        </is>
      </c>
    </row>
    <row r="5">
      <c r="A5" t="inlineStr">
        <is>
          <t>Как пользоваться файлом</t>
        </is>
      </c>
      <c r="B5" t="inlineStr">
        <is>
          <t>Setup Checklist — мастер-список шагов (отмечай Status).  Alert Subscriptions — где и на что подписаться (точные URL, проверено вживую).  Commodity Codes — какие категории выбирать под civil/earthwork-scope.  GC Auto-Forward — как поймать приглашения от GC.  Silent Validation Log — живой трекер сверки с Example Coordinator (формулы внутри).</t>
        </is>
      </c>
    </row>
    <row r="6"/>
    <row r="7">
      <c r="A7" t="inlineStr">
        <is>
          <t>4 ШАГА PHASE 0</t>
        </is>
      </c>
    </row>
    <row r="8">
      <c r="A8" t="inlineStr">
        <is>
          <t>1. Общий ящик</t>
        </is>
      </c>
      <c r="B8" t="inlineStr">
        <is>
          <t>Завести estimating@example.com в M365. Один адрес-приёмник для всех тендеров и приглашений. Эстиматоры (Estimator A, Estimator B, Estimator C, Estimator D, Estimator E) получают доступ.</t>
        </is>
      </c>
    </row>
    <row r="9">
      <c r="A9" t="inlineStr">
        <is>
          <t>2. Подписки на alerts</t>
        </is>
      </c>
      <c r="B9" t="inlineStr">
        <is>
          <t>Зарегистрировать ящик на бесплатные нативные alerts с civil/utility/road/earthwork-категориями: bids&amp;tenders (Surrey, Maple Ridge, Metro Van — проверено), CivicInfo Construction RSS, BC Bid (Business BCeID), City of Vancouver portal. Детали и URL — вкладка Alert Subscriptions.</t>
        </is>
      </c>
    </row>
    <row r="10">
      <c r="A10" t="inlineStr">
        <is>
          <t>3. Auto-forward от GC</t>
        </is>
      </c>
      <c r="B10" t="inlineStr">
        <is>
          <t>Настроить правила у эстиматоров: ITB-письма (BuildingConnected, SmartBid, iSqFt, прямые приглашения GC) → в общий ящик. Это ловит Tier-3 GC-канал, которого НЕТ ни в одном портале. Если IT блокирует auto-forward → distribution list / делегирование общего ящика.</t>
        </is>
      </c>
    </row>
    <row r="11">
      <c r="A11" t="inlineStr">
        <is>
          <t>4. Silent validation</t>
        </is>
      </c>
      <c r="B11" t="inlineStr">
        <is>
          <t>Несколько недель вести систему ПАРАЛЛЕЛЬНО с ручным списком Example Coordinator, НЕ полагаясь на неё. Бенчмарк: 100% позиций Example Coordinator три недели подряд — только потом система становится источником истины. Трекер с формулами — вкладка Silent Validation Log.</t>
        </is>
      </c>
    </row>
    <row r="12"/>
    <row r="13">
      <c r="A13" t="inlineStr">
        <is>
          <t>⏰ Параллельно (one-off)</t>
        </is>
      </c>
      <c r="B13" t="inlineStr">
        <is>
          <t>BC Major Projects Inventory: Q3 2025 — последний выпуск, страница офлайн 30 июня. Выгрузить XLS/CSV пока жива (это из Задачи E, не из D, но дедлайн рядом).</t>
        </is>
      </c>
    </row>
    <row r="14">
      <c r="A14" t="inlineStr">
        <is>
          <t>ЮР-ГРАНИЦА</t>
        </is>
      </c>
      <c r="B14" t="inlineStr">
        <is>
          <t>Только официальные alerts / RSS / API / email / публичные PDF. БЕЗ скрейпинга login-порталов. GC-приглашения берём ТОЛЬКО через email-пересылку, не парсингом портала BuildingConnected.</t>
        </is>
      </c>
    </row>
    <row r="15">
      <c r="A15" t="inlineStr">
        <is>
          <t>Главная метрика</t>
        </is>
      </c>
      <c r="B15" t="inlineStr">
        <is>
          <t>Capture % = сколько из тендеров Example Coordinator система поймала сама. Цель — 100% три недели подряд. Считается автоматически в Silent Validation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Checklist — Phase 0 (этой недели)</t>
        </is>
      </c>
    </row>
    <row r="2">
      <c r="A2" t="inlineStr">
        <is>
          <t>Порядок шагов. Зелёный = High (делать первым). Status: ☐ → ☑. Шаги 2–4 проверены вживую как бесплатные.</t>
        </is>
      </c>
    </row>
    <row r="3"/>
    <row r="4">
      <c r="A4" t="inlineStr">
        <is>
          <t>#</t>
        </is>
      </c>
      <c r="B4" t="inlineStr">
        <is>
          <t>Step</t>
        </is>
      </c>
      <c r="C4" t="inlineStr">
        <is>
          <t>What to do</t>
        </is>
      </c>
      <c r="D4" t="inlineStr">
        <is>
          <t>URL / where</t>
        </is>
      </c>
      <c r="E4" t="inlineStr">
        <is>
          <t>Account / prereq</t>
        </is>
      </c>
      <c r="F4" t="inlineStr">
        <is>
          <t>Owner</t>
        </is>
      </c>
      <c r="G4" t="inlineStr">
        <is>
          <t>Priority</t>
        </is>
      </c>
      <c r="H4" t="inlineStr">
        <is>
          <t>Status</t>
        </is>
      </c>
    </row>
    <row r="5">
      <c r="A5" t="n">
        <v>1</v>
      </c>
      <c r="B5" t="inlineStr">
        <is>
          <t>Create shared inbox</t>
        </is>
      </c>
      <c r="C5" t="inlineStr">
        <is>
          <t>Stand up estimating@example.com in M365; grant access to estimators</t>
        </is>
      </c>
      <c r="D5" t="inlineStr">
        <is>
          <t>M365 admin</t>
        </is>
      </c>
      <c r="E5" t="inlineStr">
        <is>
          <t>M365 / IT</t>
        </is>
      </c>
      <c r="F5" t="inlineStr">
        <is>
          <t>IT + Example Reviewer</t>
        </is>
      </c>
      <c r="G5" t="inlineStr">
        <is>
          <t>High</t>
        </is>
      </c>
      <c r="H5" t="inlineStr">
        <is>
          <t>☐</t>
        </is>
      </c>
    </row>
    <row r="6">
      <c r="A6" t="n">
        <v>2</v>
      </c>
      <c r="B6" t="inlineStr">
        <is>
          <t>Surrey tenders alert</t>
        </is>
      </c>
      <c r="C6" t="inlineStr">
        <is>
          <t>Register free vendor account; select civil/construction commodity codes → email alerts</t>
        </is>
      </c>
      <c r="D6" t="inlineStr">
        <is>
          <t>https://surrey.bidsandtenders.ca</t>
        </is>
      </c>
      <c r="E6" t="inlineStr">
        <is>
          <t>Free vendor account</t>
        </is>
      </c>
      <c r="F6" t="inlineStr">
        <is>
          <t>Estimating</t>
        </is>
      </c>
      <c r="G6" t="inlineStr">
        <is>
          <t>High</t>
        </is>
      </c>
      <c r="H6" t="inlineStr">
        <is>
          <t>☐</t>
        </is>
      </c>
    </row>
    <row r="7">
      <c r="A7" t="n">
        <v>3</v>
      </c>
      <c r="B7" t="inlineStr">
        <is>
          <t>Maple Ridge tenders alert</t>
        </is>
      </c>
      <c r="C7" t="inlineStr">
        <is>
          <t>Register free vendor account; select commodity codes → email alerts</t>
        </is>
      </c>
      <c r="D7" t="inlineStr">
        <is>
          <t>https://mapleridge.bidsandtenders.ca</t>
        </is>
      </c>
      <c r="E7" t="inlineStr">
        <is>
          <t>Free vendor account</t>
        </is>
      </c>
      <c r="F7" t="inlineStr">
        <is>
          <t>Estimating</t>
        </is>
      </c>
      <c r="G7" t="inlineStr">
        <is>
          <t>High</t>
        </is>
      </c>
      <c r="H7" t="inlineStr">
        <is>
          <t>☐</t>
        </is>
      </c>
    </row>
    <row r="8">
      <c r="A8" t="n">
        <v>4</v>
      </c>
      <c r="B8" t="inlineStr">
        <is>
          <t>Metro Vancouver alert</t>
        </is>
      </c>
      <c r="C8" t="inlineStr">
        <is>
          <t>Register vendor account; select construction commodity codes (water/sewer/infra)</t>
        </is>
      </c>
      <c r="D8" t="inlineStr">
        <is>
          <t>https://metrovancouver.bidsandtenders.ca</t>
        </is>
      </c>
      <c r="E8" t="inlineStr">
        <is>
          <t>Free vendor account</t>
        </is>
      </c>
      <c r="F8" t="inlineStr">
        <is>
          <t>Estimating</t>
        </is>
      </c>
      <c r="G8" t="inlineStr">
        <is>
          <t>High</t>
        </is>
      </c>
      <c r="H8" t="inlineStr">
        <is>
          <t>☐</t>
        </is>
      </c>
    </row>
    <row r="9">
      <c r="A9" t="n">
        <v>5</v>
      </c>
      <c r="B9" t="inlineStr">
        <is>
          <t>CivicInfo Construction RSS</t>
        </is>
      </c>
      <c r="C9" t="inlineStr">
        <is>
          <t>Subscribe shared inbox/reader to Construction + Drainage + Engineering feeds</t>
        </is>
      </c>
      <c r="D9" t="inlineStr">
        <is>
          <t>https://www.civicinfo.bc.ca/feeds</t>
        </is>
      </c>
      <c r="E9" t="inlineStr">
        <is>
          <t>None (open RSS)</t>
        </is>
      </c>
      <c r="F9" t="inlineStr">
        <is>
          <t>Estimating</t>
        </is>
      </c>
      <c r="G9" t="inlineStr">
        <is>
          <t>High</t>
        </is>
      </c>
      <c r="H9" t="inlineStr">
        <is>
          <t>☐</t>
        </is>
      </c>
    </row>
    <row r="10">
      <c r="A10" t="n">
        <v>6</v>
      </c>
      <c r="B10" t="inlineStr">
        <is>
          <t>BC Bid e-notifications</t>
        </is>
      </c>
      <c r="C10" t="inlineStr">
        <is>
          <t>Register Business BCeID; set Industry Category = Construction; turn on e-notifications</t>
        </is>
      </c>
      <c r="D10" t="inlineStr">
        <is>
          <t>https://bcbid.gov.bc.ca</t>
        </is>
      </c>
      <c r="E10" t="inlineStr">
        <is>
          <t>Business BCeID</t>
        </is>
      </c>
      <c r="F10" t="inlineStr">
        <is>
          <t>Estimating + Example Reviewer</t>
        </is>
      </c>
      <c r="G10" t="inlineStr">
        <is>
          <t>High</t>
        </is>
      </c>
      <c r="H10" t="inlineStr">
        <is>
          <t>☐</t>
        </is>
      </c>
    </row>
    <row r="11">
      <c r="A11" t="n">
        <v>7</v>
      </c>
      <c r="B11" t="inlineStr">
        <is>
          <t>Other Metro Van munis</t>
        </is>
      </c>
      <c r="C11" t="inlineStr">
        <is>
          <t>Free vendor-account signup on each confirmed subdomain: burnaby, coquitlam, portcoquitlam, portmoody, richmond, abbotsford, dnv .bidsandtenders.ca</t>
        </is>
      </c>
      <c r="D11" t="inlineStr">
        <is>
          <t>see Alert Subscriptions</t>
        </is>
      </c>
      <c r="E11" t="inlineStr">
        <is>
          <t>Free vendor account</t>
        </is>
      </c>
      <c r="F11" t="inlineStr">
        <is>
          <t>Estimating</t>
        </is>
      </c>
      <c r="G11" t="inlineStr">
        <is>
          <t>Med</t>
        </is>
      </c>
      <c r="H11" t="inlineStr">
        <is>
          <t>☐</t>
        </is>
      </c>
    </row>
    <row r="12">
      <c r="A12" t="n">
        <v>8</v>
      </c>
      <c r="B12" t="inlineStr">
        <is>
          <t>City of Vancouver portal</t>
        </is>
      </c>
      <c r="C12" t="inlineStr">
        <is>
          <t>Register on Vancouver supplier portal; review construction opportunities</t>
        </is>
      </c>
      <c r="D12" t="inlineStr">
        <is>
          <t>https://vancouver.ca/doing-business/bids-contracts-rfps-purchase-orders.aspx</t>
        </is>
      </c>
      <c r="E12" t="inlineStr">
        <is>
          <t>Supplier registration</t>
        </is>
      </c>
      <c r="F12" t="inlineStr">
        <is>
          <t>Estimating</t>
        </is>
      </c>
      <c r="G12" t="inlineStr">
        <is>
          <t>Med</t>
        </is>
      </c>
      <c r="H12" t="inlineStr">
        <is>
          <t>☐</t>
        </is>
      </c>
    </row>
    <row r="13">
      <c r="A13" t="n">
        <v>9</v>
      </c>
      <c r="B13" t="inlineStr">
        <is>
          <t>TransLink / MoTI</t>
        </is>
      </c>
      <c r="C13" t="inlineStr">
        <is>
          <t>Register TransLink supplier on SAP Ariba (free); MoTI posts on BC Bid (covered by #6)</t>
        </is>
      </c>
      <c r="D13" t="inlineStr">
        <is>
          <t>https://translink.supplier.ariba.com</t>
        </is>
      </c>
      <c r="E13" t="inlineStr">
        <is>
          <t>Ariba account (free)</t>
        </is>
      </c>
      <c r="F13" t="inlineStr">
        <is>
          <t>Estimating</t>
        </is>
      </c>
      <c r="G13" t="inlineStr">
        <is>
          <t>Med</t>
        </is>
      </c>
      <c r="H13" t="inlineStr">
        <is>
          <t>☐</t>
        </is>
      </c>
    </row>
    <row r="14">
      <c r="A14" t="n">
        <v>10</v>
      </c>
      <c r="B14" t="inlineStr">
        <is>
          <t>GC auto-forward rules</t>
        </is>
      </c>
      <c r="C14" t="inlineStr">
        <is>
          <t>Each estimator forwards ITB emails (BuildingConnected/SmartBid/iSqFt/direct) → shared inbox</t>
        </is>
      </c>
      <c r="D14" t="inlineStr">
        <is>
          <t>Outlook rules / IT</t>
        </is>
      </c>
      <c r="E14" t="inlineStr">
        <is>
          <t>Estimator inboxes</t>
        </is>
      </c>
      <c r="F14" t="inlineStr">
        <is>
          <t>Each estimator</t>
        </is>
      </c>
      <c r="G14" t="inlineStr">
        <is>
          <t>High</t>
        </is>
      </c>
      <c r="H14" t="inlineStr">
        <is>
          <t>☐</t>
        </is>
      </c>
    </row>
    <row r="15">
      <c r="A15" t="n">
        <v>11</v>
      </c>
      <c r="B15" t="inlineStr">
        <is>
          <t>IT fallback (if blocked)</t>
        </is>
      </c>
      <c r="C15" t="inlineStr">
        <is>
          <t>If auto-forward disallowed → distribution list or shared-mailbox delegation</t>
        </is>
      </c>
      <c r="D15" t="inlineStr">
        <is>
          <t>M365 admin</t>
        </is>
      </c>
      <c r="E15" t="inlineStr">
        <is>
          <t>IT</t>
        </is>
      </c>
      <c r="F15" t="inlineStr">
        <is>
          <t>IT</t>
        </is>
      </c>
      <c r="G15" t="inlineStr">
        <is>
          <t>Med</t>
        </is>
      </c>
      <c r="H15" t="inlineStr">
        <is>
          <t>☐</t>
        </is>
      </c>
    </row>
    <row r="16">
      <c r="A16" t="n">
        <v>12</v>
      </c>
      <c r="B16" t="inlineStr">
        <is>
          <t>Start silent validation</t>
        </is>
      </c>
      <c r="C16" t="inlineStr">
        <is>
          <t>Begin weekly parallel log vs Example Coordinator's manual list (do NOT switch off Example Coordinator yet)</t>
        </is>
      </c>
      <c r="D16" t="inlineStr">
        <is>
          <t>Silent Validation Log tab</t>
        </is>
      </c>
      <c r="E16" t="inlineStr">
        <is>
          <t>Shared inbox live</t>
        </is>
      </c>
      <c r="F16" t="inlineStr">
        <is>
          <t>Estimating</t>
        </is>
      </c>
      <c r="G16" t="inlineStr">
        <is>
          <t>High</t>
        </is>
      </c>
      <c r="H16" t="inlineStr">
        <is>
          <t>☐</t>
        </is>
      </c>
    </row>
    <row r="17">
      <c r="A17" t="n">
        <v>13</v>
      </c>
      <c r="B17" t="inlineStr">
        <is>
          <t>Quarterly keyword refresh</t>
        </is>
      </c>
      <c r="C17" t="inlineStr">
        <is>
          <t>Refresh civil/UNSPSC/client keywords from scope paragraph each quarter</t>
        </is>
      </c>
      <c r="D17" t="inlineStr">
        <is>
          <t>Commodity Codes tab</t>
        </is>
      </c>
      <c r="E17" t="inlineStr">
        <is>
          <t>—</t>
        </is>
      </c>
      <c r="F17" t="inlineStr">
        <is>
          <t>Analyst</t>
        </is>
      </c>
      <c r="G17" t="inlineStr">
        <is>
          <t>Low</t>
        </is>
      </c>
      <c r="H17" t="inlineStr">
        <is>
          <t>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Subscriptions — где и на что подписаться</t>
        </is>
      </c>
    </row>
    <row r="2">
      <c r="A2" t="inlineStr">
        <is>
          <t>Обновлено 22 июня: 10 bids&amp;tenders-субдоменов + BC Bid + Vancouver + TransLink Ariba проверены вживую (бесплатно). Паттерн = {muni}.bidsandtenders.ca. Зелёный «Verified» = подтверждено. BidCentral — платный, НЕ Phase 0.</t>
        </is>
      </c>
    </row>
    <row r="3"/>
    <row r="4">
      <c r="A4" t="inlineStr">
        <is>
          <t>Channel</t>
        </is>
      </c>
      <c r="B4" t="inlineStr">
        <is>
          <t>Type</t>
        </is>
      </c>
      <c r="C4" t="inlineStr">
        <is>
          <t>Subscribe at (URL)</t>
        </is>
      </c>
      <c r="D4" t="inlineStr">
        <is>
          <t>Account / cost</t>
        </is>
      </c>
      <c r="E4" t="inlineStr">
        <is>
          <t>Select / filter</t>
        </is>
      </c>
      <c r="F4" t="inlineStr">
        <is>
          <t>Freq.</t>
        </is>
      </c>
      <c r="G4" t="inlineStr">
        <is>
          <t>Civil relevance</t>
        </is>
      </c>
      <c r="H4" t="inlineStr">
        <is>
          <t>Verified</t>
        </is>
      </c>
      <c r="I4" t="inlineStr">
        <is>
          <t>Notes</t>
        </is>
      </c>
    </row>
    <row r="5">
      <c r="A5" t="inlineStr">
        <is>
          <t>CivicInfo BC — Construction</t>
        </is>
      </c>
      <c r="B5" t="inlineStr">
        <is>
          <t>RSS (auto)</t>
        </is>
      </c>
      <c r="C5" t="inlineStr">
        <is>
          <t>https://www.civicinfo.bc.ca/rss/bids-bt.php?id=5</t>
        </is>
      </c>
      <c r="D5" t="inlineStr">
        <is>
          <t>None / free</t>
        </is>
      </c>
      <c r="E5" t="inlineStr">
        <is>
          <t>n/a (whole category)</t>
        </is>
      </c>
      <c r="F5" t="inlineStr">
        <is>
          <t>Daily</t>
        </is>
      </c>
      <c r="G5" t="inlineStr">
        <is>
          <t>High — exact civil scope</t>
        </is>
      </c>
      <c r="H5" t="inlineStr">
        <is>
          <t>Verified</t>
        </is>
      </c>
      <c r="I5" t="inlineStr">
        <is>
          <t>Cleanest auto feed. Also subscribe Drainage &amp; Flood Protection + Engineering &amp; Applied Science from /feeds.</t>
        </is>
      </c>
    </row>
    <row r="6">
      <c r="A6" t="inlineStr">
        <is>
          <t>CivicInfo BC — postings</t>
        </is>
      </c>
      <c r="B6" t="inlineStr">
        <is>
          <t>Web list</t>
        </is>
      </c>
      <c r="C6" t="inlineStr">
        <is>
          <t>https://www.civicinfo.bc.ca/bids</t>
        </is>
      </c>
      <c r="D6" t="inlineStr">
        <is>
          <t>None / free</t>
        </is>
      </c>
      <c r="E6" t="inlineStr">
        <is>
          <t>Filter by category</t>
        </is>
      </c>
      <c r="F6" t="inlineStr">
        <is>
          <t>Daily</t>
        </is>
      </c>
      <c r="G6" t="inlineStr">
        <is>
          <t>High</t>
        </is>
      </c>
      <c r="H6" t="inlineStr">
        <is>
          <t>Verified</t>
        </is>
      </c>
      <c r="I6" t="inlineStr">
        <is>
          <t>Backstop visual check of the RSS.</t>
        </is>
      </c>
    </row>
    <row r="7">
      <c r="A7" t="inlineStr">
        <is>
          <t>Surrey (bids&amp;tenders)</t>
        </is>
      </c>
      <c r="B7" t="inlineStr">
        <is>
          <t>Email alert</t>
        </is>
      </c>
      <c r="C7" t="inlineStr">
        <is>
          <t>https://surrey.bidsandtenders.ca</t>
        </is>
      </c>
      <c r="D7" t="inlineStr">
        <is>
          <t>Free vendor account</t>
        </is>
      </c>
      <c r="E7" t="inlineStr">
        <is>
          <t>Construction / civil / utility / roadwork commodity codes</t>
        </is>
      </c>
      <c r="F7" t="inlineStr">
        <is>
          <t>Daily</t>
        </is>
      </c>
      <c r="G7" t="inlineStr">
        <is>
          <t>High — live civil ITTs (watermain, road widening, sanitary)</t>
        </is>
      </c>
      <c r="H7" t="inlineStr">
        <is>
          <t>Verified</t>
        </is>
      </c>
      <c r="I7" t="inlineStr">
        <is>
          <t>City moved to bids&amp;tenders; no fee. Support 1-800-594-4798.</t>
        </is>
      </c>
    </row>
    <row r="8">
      <c r="A8" t="inlineStr">
        <is>
          <t>Maple Ridge (bids&amp;tenders)</t>
        </is>
      </c>
      <c r="B8" t="inlineStr">
        <is>
          <t>Email alert</t>
        </is>
      </c>
      <c r="C8" t="inlineStr">
        <is>
          <t>https://mapleridge.bidsandtenders.ca</t>
        </is>
      </c>
      <c r="D8" t="inlineStr">
        <is>
          <t>Free vendor account</t>
        </is>
      </c>
      <c r="E8" t="inlineStr">
        <is>
          <t>Construction / civil commodity codes</t>
        </is>
      </c>
      <c r="F8" t="inlineStr">
        <is>
          <t>Daily</t>
        </is>
      </c>
      <c r="G8" t="inlineStr">
        <is>
          <t>High</t>
        </is>
      </c>
      <c r="H8" t="inlineStr">
        <is>
          <t>Verified</t>
        </is>
      </c>
      <c r="I8" t="inlineStr">
        <is>
          <t>Free; e-Bond accepted. Lower Mainland co-op buying.</t>
        </is>
      </c>
    </row>
    <row r="9">
      <c r="A9" t="inlineStr">
        <is>
          <t>Metro Vancouver (bids&amp;tenders)</t>
        </is>
      </c>
      <c r="B9" t="inlineStr">
        <is>
          <t>Email alert</t>
        </is>
      </c>
      <c r="C9" t="inlineStr">
        <is>
          <t>https://metrovancouver.bidsandtenders.ca</t>
        </is>
      </c>
      <c r="D9" t="inlineStr">
        <is>
          <t>Free vendor account</t>
        </is>
      </c>
      <c r="E9" t="inlineStr">
        <is>
          <t>Construction commodity codes (water/sewer/infra)</t>
        </is>
      </c>
      <c r="F9" t="inlineStr">
        <is>
          <t>Daily</t>
        </is>
      </c>
      <c r="G9" t="inlineStr">
        <is>
          <t>High — direct infra owner</t>
        </is>
      </c>
      <c r="H9" t="inlineStr">
        <is>
          <t>Verified</t>
        </is>
      </c>
      <c r="I9" t="inlineStr">
        <is>
          <t>21-municipality federation; core services = water/wastewater.</t>
        </is>
      </c>
    </row>
    <row r="10">
      <c r="A10" t="inlineStr">
        <is>
          <t>BC Bid</t>
        </is>
      </c>
      <c r="B10" t="inlineStr">
        <is>
          <t>Email e-notification</t>
        </is>
      </c>
      <c r="C10" t="inlineStr">
        <is>
          <t>https://bcbid.gov.bc.ca</t>
        </is>
      </c>
      <c r="D10" t="inlineStr">
        <is>
          <t>Business BCeID / free</t>
        </is>
      </c>
      <c r="E10" t="inlineStr">
        <is>
          <t>Industry Category = Construction (mandatory) + commodity codes</t>
        </is>
      </c>
      <c r="F10" t="inlineStr">
        <is>
          <t>Daily</t>
        </is>
      </c>
      <c r="G10" t="inlineStr">
        <is>
          <t>High — all BC public sector</t>
        </is>
      </c>
      <c r="H10" t="inlineStr">
        <is>
          <t>Verified</t>
        </is>
      </c>
      <c r="I10" t="inlineStr">
        <is>
          <t>Resources: www2.gov.bc.ca/gov/content/bc-procurement-resources/bc-bid-resources.</t>
        </is>
      </c>
    </row>
    <row r="11">
      <c r="A11" t="inlineStr">
        <is>
          <t>City of Vancouver supplier portal</t>
        </is>
      </c>
      <c r="B11" t="inlineStr">
        <is>
          <t>Web portal + email</t>
        </is>
      </c>
      <c r="C11" t="inlineStr">
        <is>
          <t>https://vancouver.ca/doing-business/bids-contracts-rfps-purchase-orders.aspx</t>
        </is>
      </c>
      <c r="D11" t="inlineStr">
        <is>
          <t>Supplier registration / free</t>
        </is>
      </c>
      <c r="E11" t="inlineStr">
        <is>
          <t>Construction opportunities</t>
        </is>
      </c>
      <c r="F11" t="inlineStr">
        <is>
          <t>Daily</t>
        </is>
      </c>
      <c r="G11" t="inlineStr">
        <is>
          <t>Med-High</t>
        </is>
      </c>
      <c r="H11" t="inlineStr">
        <is>
          <t>Verified</t>
        </is>
      </c>
      <c r="I11" t="inlineStr">
        <is>
          <t>Supplier Code of Conduct required.</t>
        </is>
      </c>
    </row>
    <row r="12">
      <c r="A12" t="inlineStr">
        <is>
          <t>Burnaby (bids&amp;tenders)</t>
        </is>
      </c>
      <c r="B12" t="inlineStr">
        <is>
          <t>Email alert</t>
        </is>
      </c>
      <c r="C12" t="inlineStr">
        <is>
          <t>https://burnaby.bidsandtenders.ca</t>
        </is>
      </c>
      <c r="D12" t="inlineStr">
        <is>
          <t>Free vendor account</t>
        </is>
      </c>
      <c r="E12" t="inlineStr">
        <is>
          <t>Construction / civil codes</t>
        </is>
      </c>
      <c r="F12" t="inlineStr">
        <is>
          <t>Daily</t>
        </is>
      </c>
      <c r="G12" t="inlineStr">
        <is>
          <t>High</t>
        </is>
      </c>
      <c r="H12" t="inlineStr">
        <is>
          <t>Verified</t>
        </is>
      </c>
      <c r="I12" t="inlineStr">
        <is>
          <t>Confirmed live &amp; free. Civil work (e.g. community-hall construction).</t>
        </is>
      </c>
    </row>
    <row r="13">
      <c r="A13" t="inlineStr">
        <is>
          <t>Coquitlam (bids&amp;tenders)</t>
        </is>
      </c>
      <c r="B13" t="inlineStr">
        <is>
          <t>Email alert</t>
        </is>
      </c>
      <c r="C13" t="inlineStr">
        <is>
          <t>https://coquitlam.bidsandtenders.ca</t>
        </is>
      </c>
      <c r="D13" t="inlineStr">
        <is>
          <t>Free vendor account</t>
        </is>
      </c>
      <c r="E13" t="inlineStr">
        <is>
          <t>Construction / civil codes</t>
        </is>
      </c>
      <c r="F13" t="inlineStr">
        <is>
          <t>Daily</t>
        </is>
      </c>
      <c r="G13" t="inlineStr">
        <is>
          <t>High</t>
        </is>
      </c>
      <c r="H13" t="inlineStr">
        <is>
          <t>Verified</t>
        </is>
      </c>
      <c r="I13" t="inlineStr">
        <is>
          <t>Transitioning to b&amp;t Summer 2026 — ALSO check coquitlam.ca/140 now. Live storm/sanitary main + pavement tenders.</t>
        </is>
      </c>
    </row>
    <row r="14">
      <c r="A14" t="inlineStr">
        <is>
          <t>Port Coquitlam (bids&amp;tenders)</t>
        </is>
      </c>
      <c r="B14" t="inlineStr">
        <is>
          <t>Email alert</t>
        </is>
      </c>
      <c r="C14" t="inlineStr">
        <is>
          <t>https://portcoquitlam.bidsandtenders.ca</t>
        </is>
      </c>
      <c r="D14" t="inlineStr">
        <is>
          <t>Free vendor account</t>
        </is>
      </c>
      <c r="E14" t="inlineStr">
        <is>
          <t>Construction / civil codes</t>
        </is>
      </c>
      <c r="F14" t="inlineStr">
        <is>
          <t>Daily</t>
        </is>
      </c>
      <c r="G14" t="inlineStr">
        <is>
          <t>Med-High</t>
        </is>
      </c>
      <c r="H14" t="inlineStr">
        <is>
          <t>Verified</t>
        </is>
      </c>
      <c r="I14" t="inlineStr">
        <is>
          <t>Confirmed free; LMPG co-op.</t>
        </is>
      </c>
    </row>
    <row r="15">
      <c r="A15" t="inlineStr">
        <is>
          <t>Port Moody (bids&amp;tenders)</t>
        </is>
      </c>
      <c r="B15" t="inlineStr">
        <is>
          <t>Email alert</t>
        </is>
      </c>
      <c r="C15" t="inlineStr">
        <is>
          <t>https://portmoody.bidsandtenders.ca</t>
        </is>
      </c>
      <c r="D15" t="inlineStr">
        <is>
          <t>Free vendor account</t>
        </is>
      </c>
      <c r="E15" t="inlineStr">
        <is>
          <t>Construction / civil codes</t>
        </is>
      </c>
      <c r="F15" t="inlineStr">
        <is>
          <t>Daily</t>
        </is>
      </c>
      <c r="G15" t="inlineStr">
        <is>
          <t>Med</t>
        </is>
      </c>
      <c r="H15" t="inlineStr">
        <is>
          <t>Verified</t>
        </is>
      </c>
      <c r="I15" t="inlineStr">
        <is>
          <t>Confirmed free, no subscription fee.</t>
        </is>
      </c>
    </row>
    <row r="16">
      <c r="A16" t="inlineStr">
        <is>
          <t>Richmond (bids&amp;tenders)</t>
        </is>
      </c>
      <c r="B16" t="inlineStr">
        <is>
          <t>Email alert</t>
        </is>
      </c>
      <c r="C16" t="inlineStr">
        <is>
          <t>https://richmond.bidsandtenders.ca</t>
        </is>
      </c>
      <c r="D16" t="inlineStr">
        <is>
          <t>Free vendor account</t>
        </is>
      </c>
      <c r="E16" t="inlineStr">
        <is>
          <t>Construction / civil codes</t>
        </is>
      </c>
      <c r="F16" t="inlineStr">
        <is>
          <t>Daily</t>
        </is>
      </c>
      <c r="G16" t="inlineStr">
        <is>
          <t>Med-High</t>
        </is>
      </c>
      <c r="H16" t="inlineStr">
        <is>
          <t>Verified</t>
        </is>
      </c>
      <c r="I16" t="inlineStr">
        <is>
          <t>Confirmed.</t>
        </is>
      </c>
    </row>
    <row r="17">
      <c r="A17" t="inlineStr">
        <is>
          <t>Abbotsford (bids&amp;tenders)</t>
        </is>
      </c>
      <c r="B17" t="inlineStr">
        <is>
          <t>Email alert</t>
        </is>
      </c>
      <c r="C17" t="inlineStr">
        <is>
          <t>https://abbotsford.bidsandtenders.ca</t>
        </is>
      </c>
      <c r="D17" t="inlineStr">
        <is>
          <t>Free vendor account</t>
        </is>
      </c>
      <c r="E17" t="inlineStr">
        <is>
          <t>Construction / civil codes</t>
        </is>
      </c>
      <c r="F17" t="inlineStr">
        <is>
          <t>Daily</t>
        </is>
      </c>
      <c r="G17" t="inlineStr">
        <is>
          <t>Med-High</t>
        </is>
      </c>
      <c r="H17" t="inlineStr">
        <is>
          <t>Verified</t>
        </is>
      </c>
      <c r="I17" t="inlineStr">
        <is>
          <t>On b&amp;t since May 2023. Annual Hired Equipment Program (operator rotation).</t>
        </is>
      </c>
    </row>
    <row r="18">
      <c r="A18" t="inlineStr">
        <is>
          <t>North Van District (bids&amp;tenders)</t>
        </is>
      </c>
      <c r="B18" t="inlineStr">
        <is>
          <t>Email alert</t>
        </is>
      </c>
      <c r="C18" t="inlineStr">
        <is>
          <t>https://dnv.bidsandtenders.ca</t>
        </is>
      </c>
      <c r="D18" t="inlineStr">
        <is>
          <t>Free vendor account</t>
        </is>
      </c>
      <c r="E18" t="inlineStr">
        <is>
          <t>Construction / civil codes</t>
        </is>
      </c>
      <c r="F18" t="inlineStr">
        <is>
          <t>Daily</t>
        </is>
      </c>
      <c r="G18" t="inlineStr">
        <is>
          <t>Med</t>
        </is>
      </c>
      <c r="H18" t="inlineStr">
        <is>
          <t>Verified</t>
        </is>
      </c>
      <c r="I18" t="inlineStr">
        <is>
          <t>Confirmed; LMPG.</t>
        </is>
      </c>
    </row>
    <row r="19">
      <c r="A19" t="inlineStr">
        <is>
          <t>Pitt Meadows / Delta / smaller munis</t>
        </is>
      </c>
      <c r="B19" t="inlineStr">
        <is>
          <t>via BC Bid</t>
        </is>
      </c>
      <c r="C19" t="inlineStr">
        <is>
          <t>https://bcbid.gov.bc.ca</t>
        </is>
      </c>
      <c r="D19" t="inlineStr">
        <is>
          <t>Business BCeID / free</t>
        </is>
      </c>
      <c r="E19" t="inlineStr">
        <is>
          <t>Construction (covered by BC Bid above)</t>
        </is>
      </c>
      <c r="F19" t="inlineStr">
        <is>
          <t>Daily</t>
        </is>
      </c>
      <c r="G19" t="inlineStr">
        <is>
          <t>Med-High</t>
        </is>
      </c>
      <c r="H19" t="inlineStr">
        <is>
          <t>Verified</t>
        </is>
      </c>
      <c r="I19" t="inlineStr">
        <is>
          <t>These post to BC Bid (no own subdomain) — already covered by the BC Bid step.</t>
        </is>
      </c>
    </row>
    <row r="20">
      <c r="A20" t="inlineStr">
        <is>
          <t>North Van City / West Van / White Rock / Mission / Chilliwack</t>
        </is>
      </c>
      <c r="B20" t="inlineStr">
        <is>
          <t>Web / portal</t>
        </is>
      </c>
      <c r="C20" t="inlineStr">
        <is>
          <t>municipal sites</t>
        </is>
      </c>
      <c r="D20" t="inlineStr">
        <is>
          <t>Free</t>
        </is>
      </c>
      <c r="E20" t="inlineStr">
        <is>
          <t>Construction</t>
        </is>
      </c>
      <c r="F20" t="inlineStr">
        <is>
          <t>Daily</t>
        </is>
      </c>
      <c r="G20" t="inlineStr">
        <is>
          <t>Low-Med</t>
        </is>
      </c>
      <c r="H20" t="inlineStr">
        <is>
          <t>To verify</t>
        </is>
      </c>
      <c r="I20" t="inlineStr">
        <is>
          <t>Tier-3 long tail. Likely BC Bid or own b&amp;t — confirm per muni.</t>
        </is>
      </c>
    </row>
    <row r="21">
      <c r="A21" t="inlineStr">
        <is>
          <t>TransLink</t>
        </is>
      </c>
      <c r="B21" t="inlineStr">
        <is>
          <t>SAP Ariba</t>
        </is>
      </c>
      <c r="C21" t="inlineStr">
        <is>
          <t>https://translink.supplier.ariba.com (Register Now)</t>
        </is>
      </c>
      <c r="D21" t="inlineStr">
        <is>
          <t>Ariba account / free</t>
        </is>
      </c>
      <c r="E21" t="inlineStr">
        <is>
          <t>Construction / civil</t>
        </is>
      </c>
      <c r="F21" t="inlineStr">
        <is>
          <t>Daily</t>
        </is>
      </c>
      <c r="G21" t="inlineStr">
        <is>
          <t>Med — roads/transit/SkyTrain civil</t>
        </is>
      </c>
      <c r="H21" t="inlineStr">
        <is>
          <t>Verified</t>
        </is>
      </c>
      <c r="I21" t="inlineStr">
        <is>
          <t>Free Ariba registration. Doing-business: translink.ca/about-us/doing-business-with-translink. Capital (e.g. OMC4) also via GC subtrade.</t>
        </is>
      </c>
    </row>
    <row r="22">
      <c r="A22" t="inlineStr">
        <is>
          <t>BidCentral (PAID — Phase 2)</t>
        </is>
      </c>
      <c r="B22" t="inlineStr">
        <is>
          <t>Portal + email</t>
        </is>
      </c>
      <c r="C22" t="inlineStr">
        <is>
          <t>https://www.bidcentral.ca</t>
        </is>
      </c>
      <c r="D22" t="inlineStr">
        <is>
          <t>Membership (assoc.)</t>
        </is>
      </c>
      <c r="E22" t="inlineStr">
        <is>
          <t>Pre-bid + private projects</t>
        </is>
      </c>
      <c r="F22" t="inlineStr">
        <is>
          <t>Daily</t>
        </is>
      </c>
      <c r="G22" t="inlineStr">
        <is>
          <t>High (private + pre-bid)</t>
        </is>
      </c>
      <c r="H22" t="inlineStr">
        <is>
          <t>Verified</t>
        </is>
      </c>
      <c r="I22" t="inlineStr">
        <is>
          <t>NOT Phase 0. Decide in Phase 2 after free coverage clear + Example Reviewer.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&amp; Category Codes — что выбирать под scope TENDER_FINDER</t>
        </is>
      </c>
    </row>
    <row r="2">
      <c r="A2" t="inlineStr">
        <is>
          <t>Точные номера UNSPSC у каждой платформы свои — выбирай ВСЕ категории construction/civil/utility/roadwork. Ниже — соответствие scope-областей TENDER_FINDER и категорий + ключевые слова.</t>
        </is>
      </c>
    </row>
    <row r="3"/>
    <row r="4">
      <c r="A4" t="inlineStr">
        <is>
          <t>TENDER_FINDER scope area</t>
        </is>
      </c>
      <c r="B4" t="inlineStr">
        <is>
          <t>Select on bids&amp;tenders / Metro Van (commodity)</t>
        </is>
      </c>
      <c r="C4" t="inlineStr">
        <is>
          <t>BC Bid</t>
        </is>
      </c>
      <c r="D4" t="inlineStr">
        <is>
          <t>CivicInfo category</t>
        </is>
      </c>
      <c r="E4" t="inlineStr">
        <is>
          <t>Keywords to watch</t>
        </is>
      </c>
    </row>
    <row r="5">
      <c r="A5" t="inlineStr">
        <is>
          <t>Subdivision / site servicing</t>
        </is>
      </c>
      <c r="B5" t="inlineStr">
        <is>
          <t>Civil works / site servicing / land development</t>
        </is>
      </c>
      <c r="C5" t="inlineStr">
        <is>
          <t>Construction</t>
        </is>
      </c>
      <c r="D5" t="inlineStr">
        <is>
          <t>Construction</t>
        </is>
      </c>
      <c r="E5" t="inlineStr">
        <is>
          <t>servicing, subdivision, site grading, offsite works</t>
        </is>
      </c>
    </row>
    <row r="6">
      <c r="A6" t="inlineStr">
        <is>
          <t>Underground utilities (water main, storm, sanitary)</t>
        </is>
      </c>
      <c r="B6" t="inlineStr">
        <is>
          <t>Watermain / sanitary sewer / storm sewer / utilities</t>
        </is>
      </c>
      <c r="C6" t="inlineStr">
        <is>
          <t>Construction</t>
        </is>
      </c>
      <c r="D6" t="inlineStr">
        <is>
          <t>Drainage &amp; Flood Protection</t>
        </is>
      </c>
      <c r="E6" t="inlineStr">
        <is>
          <t>watermain, sanitary, storm, sewer, utility, CIPP, manhole</t>
        </is>
      </c>
    </row>
    <row r="7">
      <c r="A7" t="inlineStr">
        <is>
          <t>Roadworks</t>
        </is>
      </c>
      <c r="B7" t="inlineStr">
        <is>
          <t>Roadway construction / paving / asphalt</t>
        </is>
      </c>
      <c r="C7" t="inlineStr">
        <is>
          <t>Construction</t>
        </is>
      </c>
      <c r="D7" t="inlineStr">
        <is>
          <t>Construction</t>
        </is>
      </c>
      <c r="E7" t="inlineStr">
        <is>
          <t>road widening, paving, asphalt, curb &amp; gutter, BRT works</t>
        </is>
      </c>
    </row>
    <row r="8">
      <c r="A8" t="inlineStr">
        <is>
          <t>Excavation / earthwork</t>
        </is>
      </c>
      <c r="B8" t="inlineStr">
        <is>
          <t>Excavation / earthwork / grading / bedding gravel</t>
        </is>
      </c>
      <c r="C8" t="inlineStr">
        <is>
          <t>Construction</t>
        </is>
      </c>
      <c r="D8" t="inlineStr">
        <is>
          <t>Construction</t>
        </is>
      </c>
      <c r="E8" t="inlineStr">
        <is>
          <t>excavation, earthwork, grading, bedding, gravel</t>
        </is>
      </c>
    </row>
    <row r="9">
      <c r="A9" t="inlineStr">
        <is>
          <t>Structural / site concrete</t>
        </is>
      </c>
      <c r="B9" t="inlineStr">
        <is>
          <t>Concrete construction / structural concrete</t>
        </is>
      </c>
      <c r="C9" t="inlineStr">
        <is>
          <t>Construction</t>
        </is>
      </c>
      <c r="D9" t="inlineStr">
        <is>
          <t>Construction</t>
        </is>
      </c>
      <c r="E9" t="inlineStr">
        <is>
          <t>concrete, curb, gutter, footings, foundation</t>
        </is>
      </c>
    </row>
    <row r="10">
      <c r="A10" t="inlineStr">
        <is>
          <t>Bridges</t>
        </is>
      </c>
      <c r="B10" t="inlineStr">
        <is>
          <t>Bridge construction / structures</t>
        </is>
      </c>
      <c r="C10" t="inlineStr">
        <is>
          <t>Construction</t>
        </is>
      </c>
      <c r="D10" t="inlineStr">
        <is>
          <t>Marine Construction (if applicable)</t>
        </is>
      </c>
      <c r="E10" t="inlineStr">
        <is>
          <t>bridge, structure, culvert, crossing</t>
        </is>
      </c>
    </row>
    <row r="11">
      <c r="A11" t="inlineStr">
        <is>
          <t>Drainage / stormwater</t>
        </is>
      </c>
      <c r="B11" t="inlineStr">
        <is>
          <t>Drainage / flood protection</t>
        </is>
      </c>
      <c r="C11" t="inlineStr">
        <is>
          <t>Construction</t>
        </is>
      </c>
      <c r="D11" t="inlineStr">
        <is>
          <t>Drainage &amp; Flood Protection</t>
        </is>
      </c>
      <c r="E11" t="inlineStr">
        <is>
          <t>drainage, stormwater, detention, environmental improvement</t>
        </is>
      </c>
    </row>
    <row r="12">
      <c r="A12" t="inlineStr">
        <is>
          <t>Civil engineering (general)</t>
        </is>
      </c>
      <c r="B12" t="inlineStr">
        <is>
          <t>Heavy civil / engineering services</t>
        </is>
      </c>
      <c r="C12" t="inlineStr">
        <is>
          <t>Construction</t>
        </is>
      </c>
      <c r="D12" t="inlineStr">
        <is>
          <t>Engineering &amp; Applied Science</t>
        </is>
      </c>
      <c r="E12" t="inlineStr">
        <is>
          <t>civil, infrastructure, capital program</t>
        </is>
      </c>
    </row>
    <row r="13"/>
    <row r="14">
      <c r="A14" t="inlineStr">
        <is>
          <t>Scope-параграф TENDER_FINDER (для квартального refresh): subdivision servicing · excavation · underground utilities (water/storm/sanitary) · roadworks · site/structural concrete · footings/foundations · bridges. Клиенты: муниципалитеты (Surrey, Maple Ridge, MoTI, Metro Van), Semiahmoo FN; GC/девелоперы (Turner, Polygon, Beedie, Bird, Chandos, Stuart Olson, DP World).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 Auto-Forward — поймать приглашения от GC</t>
        </is>
      </c>
    </row>
    <row r="2">
      <c r="A2" t="inlineStr">
        <is>
          <t>Tier-3 subcontract-канал НЕ виден ни в одном портале — приходит только на почту эстиматоров. Каждый ставит правило пересылки в общий ящик.</t>
        </is>
      </c>
    </row>
    <row r="3"/>
    <row r="4">
      <c r="A4" t="inlineStr">
        <is>
          <t>Source</t>
        </is>
      </c>
      <c r="B4" t="inlineStr">
        <is>
          <t>Sender / trigger</t>
        </is>
      </c>
      <c r="C4" t="inlineStr">
        <is>
          <t>Action</t>
        </is>
      </c>
      <c r="D4" t="inlineStr">
        <is>
          <t>Target</t>
        </is>
      </c>
      <c r="E4" t="inlineStr">
        <is>
          <t>Owner</t>
        </is>
      </c>
      <c r="F4" t="inlineStr">
        <is>
          <t>Notes</t>
        </is>
      </c>
    </row>
    <row r="5">
      <c r="A5" t="inlineStr">
        <is>
          <t>BuildingConnected (Autodesk)</t>
        </is>
      </c>
      <c r="B5" t="inlineStr">
        <is>
          <t>team@buildingconnected.com</t>
        </is>
      </c>
      <c r="C5" t="inlineStr">
        <is>
          <t>Auto-forward ITB emails</t>
        </is>
      </c>
      <c r="D5" t="inlineStr">
        <is>
          <t>estimating@example.com</t>
        </is>
      </c>
      <c r="E5" t="inlineStr">
        <is>
          <t>Each estimator</t>
        </is>
      </c>
      <c r="F5" t="inlineStr">
        <is>
          <t>Primary GC channel. Parse email — do NOT scrape portal.</t>
        </is>
      </c>
    </row>
    <row r="6">
      <c r="A6" t="inlineStr">
        <is>
          <t>SmartBid</t>
        </is>
      </c>
      <c r="B6" t="inlineStr">
        <is>
          <t>SmartBid invitation emails</t>
        </is>
      </c>
      <c r="C6" t="inlineStr">
        <is>
          <t>Auto-forward</t>
        </is>
      </c>
      <c r="D6" t="inlineStr">
        <is>
          <t>estimating@example.com</t>
        </is>
      </c>
      <c r="E6" t="inlineStr">
        <is>
          <t>Each estimator</t>
        </is>
      </c>
      <c r="F6" t="inlineStr">
        <is>
          <t>Same pattern.</t>
        </is>
      </c>
    </row>
    <row r="7">
      <c r="A7" t="inlineStr">
        <is>
          <t>iSqFt / ConstructConnect ITB</t>
        </is>
      </c>
      <c r="B7" t="inlineStr">
        <is>
          <t>iSqFt invitation emails</t>
        </is>
      </c>
      <c r="C7" t="inlineStr">
        <is>
          <t>Auto-forward</t>
        </is>
      </c>
      <c r="D7" t="inlineStr">
        <is>
          <t>estimating@example.com</t>
        </is>
      </c>
      <c r="E7" t="inlineStr">
        <is>
          <t>Each estimator</t>
        </is>
      </c>
      <c r="F7" t="inlineStr">
        <is>
          <t>Same pattern.</t>
        </is>
      </c>
    </row>
    <row r="8">
      <c r="A8" t="inlineStr">
        <is>
          <t>Pipeline / BuildingConnected variants</t>
        </is>
      </c>
      <c r="B8" t="inlineStr">
        <is>
          <t>invitation emails</t>
        </is>
      </c>
      <c r="C8" t="inlineStr">
        <is>
          <t>Auto-forward</t>
        </is>
      </c>
      <c r="D8" t="inlineStr">
        <is>
          <t>estimating@example.com</t>
        </is>
      </c>
      <c r="E8" t="inlineStr">
        <is>
          <t>Each estimator</t>
        </is>
      </c>
      <c r="F8" t="inlineStr">
        <is>
          <t>Same pattern.</t>
        </is>
      </c>
    </row>
    <row r="9">
      <c r="A9" t="inlineStr">
        <is>
          <t>Direct GC / developer ITB</t>
        </is>
      </c>
      <c r="B9" t="inlineStr">
        <is>
          <t>Turner, Polygon, Beedie, Bird, Chandos, Stuart Olson, DP World...</t>
        </is>
      </c>
      <c r="C9" t="inlineStr">
        <is>
          <t>Auto-forward / distribution list</t>
        </is>
      </c>
      <c r="D9" t="inlineStr">
        <is>
          <t>estimating@example.com</t>
        </is>
      </c>
      <c r="E9" t="inlineStr">
        <is>
          <t>Each estimator</t>
        </is>
      </c>
      <c r="F9" t="inlineStr">
        <is>
          <t>Relationship-based; invisible to portals — highest GC value.</t>
        </is>
      </c>
    </row>
    <row r="10">
      <c r="A10" t="inlineStr">
        <is>
          <t>Estimator coverage</t>
        </is>
      </c>
      <c r="B10" t="inlineStr">
        <is>
          <t>Estimator A, Estimator B, Estimator C, Estimator D, Estimator E</t>
        </is>
      </c>
      <c r="C10" t="inlineStr">
        <is>
          <t>Set Outlook rule on each inbox</t>
        </is>
      </c>
      <c r="D10" t="inlineStr">
        <is>
          <t>estimating@example.com</t>
        </is>
      </c>
      <c r="E10" t="inlineStr">
        <is>
          <t>Each estimator</t>
        </is>
      </c>
      <c r="F10" t="inlineStr">
        <is>
          <t>One rule per inbox. Confirm all 5 set up.</t>
        </is>
      </c>
    </row>
    <row r="11">
      <c r="A11" t="inlineStr">
        <is>
          <t>IT fallback</t>
        </is>
      </c>
      <c r="B11" t="inlineStr">
        <is>
          <t>—</t>
        </is>
      </c>
      <c r="C11" t="inlineStr">
        <is>
          <t>If auto-forward blocked → distribution list OR shared-mailbox delegation</t>
        </is>
      </c>
      <c r="D11" t="inlineStr">
        <is>
          <t>estimating@example.com</t>
        </is>
      </c>
      <c r="E11" t="inlineStr">
        <is>
          <t>IT</t>
        </is>
      </c>
      <c r="F11" t="inlineStr">
        <is>
          <t>Use when org policy forbids external/auto-forward.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Silent Validation Log — сверка с ручным списком Example Coordinator</t>
        </is>
      </c>
    </row>
    <row r="2">
      <c r="A2" t="inlineStr">
        <is>
          <t>Бенчмарк: 100% позиций Example Coordinator ТРИ НЕДЕЛИ ПОДРЯД, прежде чем система станет источником истины. Пока — система идёт параллельно, Example Coordinator остаётся основной. Capture % считается формулой.</t>
        </is>
      </c>
    </row>
    <row r="3"/>
    <row r="4">
      <c r="A4" t="inlineStr">
        <is>
          <t>Week ending</t>
        </is>
      </c>
      <c r="B4" t="inlineStr">
        <is>
          <t>Example Coordinator found (#)</t>
        </is>
      </c>
      <c r="C4" t="inlineStr">
        <is>
          <t>System found total (#)</t>
        </is>
      </c>
      <c r="D4" t="inlineStr">
        <is>
          <t>System caught of Example Coordinator's (#)</t>
        </is>
      </c>
      <c r="E4" t="inlineStr">
        <is>
          <t>Capture %</t>
        </is>
      </c>
      <c r="F4" t="inlineStr">
        <is>
          <t>New (system-only, #)</t>
        </is>
      </c>
      <c r="G4" t="inlineStr">
        <is>
          <t>What system MISSED</t>
        </is>
      </c>
      <c r="H4" t="inlineStr">
        <is>
          <t>Notes</t>
        </is>
      </c>
    </row>
    <row r="5">
      <c r="E5">
        <f>IF(B5="","",IF(B5=0,"n/a",D5/B5))</f>
        <v/>
      </c>
    </row>
    <row r="6">
      <c r="E6">
        <f>IF(B6="","",IF(B6=0,"n/a",D6/B6))</f>
        <v/>
      </c>
    </row>
    <row r="7">
      <c r="E7">
        <f>IF(B7="","",IF(B7=0,"n/a",D7/B7))</f>
        <v/>
      </c>
    </row>
    <row r="8">
      <c r="E8">
        <f>IF(B8="","",IF(B8=0,"n/a",D8/B8))</f>
        <v/>
      </c>
    </row>
    <row r="9">
      <c r="E9">
        <f>IF(B9="","",IF(B9=0,"n/a",D9/B9))</f>
        <v/>
      </c>
    </row>
    <row r="10">
      <c r="E10">
        <f>IF(B10="","",IF(B10=0,"n/a",D10/B10))</f>
        <v/>
      </c>
    </row>
    <row r="11">
      <c r="E11">
        <f>IF(B11="","",IF(B11=0,"n/a",D11/B11))</f>
        <v/>
      </c>
    </row>
    <row r="12">
      <c r="E12">
        <f>IF(B12="","",IF(B12=0,"n/a",D12/B12))</f>
        <v/>
      </c>
    </row>
    <row r="13"/>
    <row r="14">
      <c r="A14" t="inlineStr">
        <is>
          <t>Weeks logged</t>
        </is>
      </c>
      <c r="B14">
        <f>COUNT(B5:B12)</f>
        <v/>
      </c>
    </row>
    <row r="15">
      <c r="A15" t="inlineStr">
        <is>
          <t>Weeks at 100% capture</t>
        </is>
      </c>
      <c r="B15">
        <f>COUNTIF(E5:E12,1)</f>
        <v/>
      </c>
    </row>
    <row r="16">
      <c r="A16" t="inlineStr">
        <is>
          <t>Gate to go live</t>
        </is>
      </c>
      <c r="B16" t="inlineStr">
        <is>
          <t>Требуется 3 ПОДРЯД недели со 100% capture. Не отключай ручной список Example Coordinator раньше. ROI-метрика трека: доля тендеров Example Coordinator, пойманных системой самостоятельно.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2026-07-04T04:55:24Z</dcterms:created>
  <dcterms:modified xsi:type="dcterms:W3CDTF">2026-07-04T04:55:24Z</dcterms:modified>
</cp:coreProperties>
</file>